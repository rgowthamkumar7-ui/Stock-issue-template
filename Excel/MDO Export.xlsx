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ITC\Stock issue\code\Stock issue template\Excel\"/>
    </mc:Choice>
  </mc:AlternateContent>
  <xr:revisionPtr revIDLastSave="0" documentId="13_ncr:1_{384D4755-5329-46D7-98E3-630CD07F75E2}" xr6:coauthVersionLast="47" xr6:coauthVersionMax="47" xr10:uidLastSave="{00000000-0000-0000-0000-000000000000}"/>
  <bookViews>
    <workbookView xWindow="-108" yWindow="-108" windowWidth="23256" windowHeight="13176" xr2:uid="{2F14464D-E611-489A-9DC9-19DEE40DECA5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Sheet1!$A$2:$J$68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</calcChain>
</file>

<file path=xl/sharedStrings.xml><?xml version="1.0" encoding="utf-8"?>
<sst xmlns="http://schemas.openxmlformats.org/spreadsheetml/2006/main" count="340" uniqueCount="20">
  <si>
    <t>Circle</t>
  </si>
  <si>
    <t>Ship to Party</t>
  </si>
  <si>
    <t>Sold to Party</t>
  </si>
  <si>
    <t>Brand</t>
  </si>
  <si>
    <t>Plant</t>
  </si>
  <si>
    <t>Quantity</t>
  </si>
  <si>
    <t>Remarks</t>
  </si>
  <si>
    <t>MUU</t>
  </si>
  <si>
    <t>CWMB</t>
  </si>
  <si>
    <t>Brand Name</t>
  </si>
  <si>
    <t>QTY</t>
  </si>
  <si>
    <t>Lean</t>
  </si>
  <si>
    <t>Remarks 2</t>
  </si>
  <si>
    <t>Non-Lean</t>
  </si>
  <si>
    <t>MU3800</t>
  </si>
  <si>
    <t>MU3713</t>
  </si>
  <si>
    <t>MU3786</t>
  </si>
  <si>
    <t>MU3680</t>
  </si>
  <si>
    <t>MU3612</t>
  </si>
  <si>
    <t>MU3666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</si>
</sst>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129433/AppData/Local/Microsoft/Windows/INetCache/Content.Outlook/QQDAMU7Q/SOH.XLS" TargetMode="External"/><Relationship Id="rId1" Type="http://schemas.openxmlformats.org/officeDocument/2006/relationships/externalLinkPath" Target="/Users/129433/AppData/Local/Microsoft/Windows/INetCache/Content.Outlook/QQDAMU7Q/SO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H"/>
    </sheetNames>
    <sheetDataSet>
      <sheetData sheetId="0">
        <row r="289">
          <cell r="C289">
            <v>1153</v>
          </cell>
          <cell r="E289" t="str">
            <v>12578 FL LIBERTY DSFT -200s NPCT 10HL</v>
          </cell>
          <cell r="F289">
            <v>116</v>
          </cell>
          <cell r="G289">
            <v>0</v>
          </cell>
          <cell r="H289">
            <v>0</v>
          </cell>
          <cell r="I289">
            <v>116</v>
          </cell>
        </row>
        <row r="290">
          <cell r="C290">
            <v>1403</v>
          </cell>
          <cell r="E290" t="str">
            <v>10020 INSIGNIA FTK 20SB</v>
          </cell>
          <cell r="F290">
            <v>6.8</v>
          </cell>
          <cell r="G290">
            <v>0</v>
          </cell>
          <cell r="H290">
            <v>0</v>
          </cell>
          <cell r="I290">
            <v>6.8</v>
          </cell>
        </row>
        <row r="291">
          <cell r="C291">
            <v>1748</v>
          </cell>
          <cell r="E291" t="str">
            <v>10392 GF Prm Blue Fresh Mint 10BE-NS</v>
          </cell>
          <cell r="F291">
            <v>888.44</v>
          </cell>
          <cell r="G291">
            <v>0.44</v>
          </cell>
          <cell r="H291">
            <v>48</v>
          </cell>
          <cell r="I291">
            <v>840</v>
          </cell>
        </row>
        <row r="292">
          <cell r="C292">
            <v>3041</v>
          </cell>
          <cell r="E292" t="str">
            <v>12007 Am Club C Frty T 10m -CC 10BE</v>
          </cell>
          <cell r="F292">
            <v>32.54</v>
          </cell>
          <cell r="G292">
            <v>0</v>
          </cell>
          <cell r="H292">
            <v>0</v>
          </cell>
          <cell r="I292">
            <v>32.54</v>
          </cell>
        </row>
        <row r="293">
          <cell r="C293">
            <v>3073</v>
          </cell>
          <cell r="E293" t="str">
            <v>12052 IKINGS RICH GOLD -MD -CC 20RC</v>
          </cell>
          <cell r="F293">
            <v>6.8</v>
          </cell>
          <cell r="G293">
            <v>0</v>
          </cell>
          <cell r="H293">
            <v>0</v>
          </cell>
          <cell r="I293">
            <v>6.8</v>
          </cell>
        </row>
        <row r="294">
          <cell r="C294">
            <v>3248</v>
          </cell>
          <cell r="E294" t="str">
            <v>11881 GF Spl Mint Switch 10BE-NS</v>
          </cell>
          <cell r="F294">
            <v>645</v>
          </cell>
          <cell r="G294">
            <v>0</v>
          </cell>
          <cell r="H294">
            <v>0</v>
          </cell>
          <cell r="I294">
            <v>645</v>
          </cell>
        </row>
        <row r="295">
          <cell r="C295">
            <v>3332</v>
          </cell>
          <cell r="E295" t="str">
            <v>12824 GF Neo SMART FT10BE-Var R</v>
          </cell>
          <cell r="F295">
            <v>43.64</v>
          </cell>
          <cell r="G295">
            <v>0</v>
          </cell>
          <cell r="H295">
            <v>0</v>
          </cell>
          <cell r="I295">
            <v>43.64</v>
          </cell>
        </row>
        <row r="296">
          <cell r="C296">
            <v>3370</v>
          </cell>
          <cell r="E296" t="str">
            <v>13559 GFK Mixpod FTK 20BE</v>
          </cell>
          <cell r="F296">
            <v>33.200000000000003</v>
          </cell>
          <cell r="G296">
            <v>0</v>
          </cell>
          <cell r="H296">
            <v>0</v>
          </cell>
          <cell r="I296">
            <v>33.200000000000003</v>
          </cell>
        </row>
        <row r="297">
          <cell r="C297">
            <v>3371</v>
          </cell>
          <cell r="E297" t="str">
            <v>13557 GFK Mixpod FTK 10BE</v>
          </cell>
          <cell r="F297">
            <v>32.15</v>
          </cell>
          <cell r="G297">
            <v>2E-3</v>
          </cell>
          <cell r="H297">
            <v>0.14799999999999999</v>
          </cell>
          <cell r="I297">
            <v>32</v>
          </cell>
        </row>
        <row r="298">
          <cell r="C298">
            <v>3394</v>
          </cell>
          <cell r="E298" t="str">
            <v>11366 Player's MintyCool FT Tip10BE</v>
          </cell>
          <cell r="F298">
            <v>3</v>
          </cell>
          <cell r="G298">
            <v>0</v>
          </cell>
          <cell r="H298">
            <v>0</v>
          </cell>
          <cell r="I298">
            <v>3</v>
          </cell>
        </row>
        <row r="299">
          <cell r="C299">
            <v>3441</v>
          </cell>
          <cell r="E299" t="str">
            <v>10806 CLASSIC VERVE 16CP(4m)-olv</v>
          </cell>
          <cell r="F299">
            <v>0.16800000000000001</v>
          </cell>
          <cell r="G299">
            <v>0.16800000000000001</v>
          </cell>
          <cell r="H299">
            <v>0</v>
          </cell>
          <cell r="I299">
            <v>0</v>
          </cell>
        </row>
        <row r="300">
          <cell r="C300">
            <v>3473</v>
          </cell>
          <cell r="E300" t="str">
            <v>13632 GF SUP ST FT V3-NPCT1 NS 10BE</v>
          </cell>
          <cell r="F300">
            <v>5356.67</v>
          </cell>
          <cell r="G300">
            <v>0</v>
          </cell>
          <cell r="H300">
            <v>36</v>
          </cell>
          <cell r="I300">
            <v>5320.67</v>
          </cell>
        </row>
        <row r="301">
          <cell r="C301">
            <v>3486</v>
          </cell>
          <cell r="E301" t="str">
            <v>13764 GFK Blue Fruit Sw-CCMB 10BE</v>
          </cell>
          <cell r="F301">
            <v>17.8</v>
          </cell>
          <cell r="G301">
            <v>0</v>
          </cell>
          <cell r="H301">
            <v>0</v>
          </cell>
          <cell r="I301">
            <v>17.8</v>
          </cell>
        </row>
        <row r="302">
          <cell r="C302">
            <v>3508</v>
          </cell>
          <cell r="E302" t="str">
            <v>11301 PLAYERS KLOV FT 10BE</v>
          </cell>
          <cell r="F302">
            <v>5</v>
          </cell>
          <cell r="G302">
            <v>0</v>
          </cell>
          <cell r="H302">
            <v>0</v>
          </cell>
          <cell r="I302">
            <v>5</v>
          </cell>
        </row>
        <row r="303">
          <cell r="C303">
            <v>3521</v>
          </cell>
          <cell r="E303" t="str">
            <v>13457 GoldFlake Prm Mint Sw-NPCT10BE</v>
          </cell>
          <cell r="F303">
            <v>570.99</v>
          </cell>
          <cell r="G303">
            <v>0</v>
          </cell>
          <cell r="H303">
            <v>0</v>
          </cell>
          <cell r="I303">
            <v>570.99</v>
          </cell>
        </row>
        <row r="304">
          <cell r="C304">
            <v>3523</v>
          </cell>
          <cell r="E304" t="str">
            <v>13167 GoldFlake PrmBlueFT 10BE-NPCT</v>
          </cell>
          <cell r="F304">
            <v>1860</v>
          </cell>
          <cell r="G304">
            <v>0</v>
          </cell>
          <cell r="H304">
            <v>0</v>
          </cell>
          <cell r="I304">
            <v>1860</v>
          </cell>
        </row>
        <row r="305">
          <cell r="C305">
            <v>3527</v>
          </cell>
          <cell r="E305" t="str">
            <v>14981 Gold Flake Twinpod 20BE</v>
          </cell>
          <cell r="F305">
            <v>25.9</v>
          </cell>
          <cell r="G305">
            <v>0</v>
          </cell>
          <cell r="H305">
            <v>0</v>
          </cell>
          <cell r="I305">
            <v>25.9</v>
          </cell>
        </row>
        <row r="306">
          <cell r="C306">
            <v>3607</v>
          </cell>
          <cell r="E306" t="str">
            <v>17617 GFLAKE PRM FT 10BE NPCT-FFT2</v>
          </cell>
          <cell r="F306">
            <v>52187.91</v>
          </cell>
          <cell r="G306">
            <v>0</v>
          </cell>
          <cell r="H306">
            <v>120</v>
          </cell>
          <cell r="I306">
            <v>52067.91</v>
          </cell>
        </row>
        <row r="307">
          <cell r="C307">
            <v>3622</v>
          </cell>
          <cell r="E307" t="str">
            <v>17890 GoldFlake FK Social Red 20RC</v>
          </cell>
          <cell r="F307">
            <v>4</v>
          </cell>
          <cell r="G307">
            <v>0</v>
          </cell>
          <cell r="H307">
            <v>0</v>
          </cell>
          <cell r="I307">
            <v>4</v>
          </cell>
        </row>
        <row r="308">
          <cell r="C308">
            <v>3624</v>
          </cell>
          <cell r="E308" t="str">
            <v>17892 GoldFlake FK Social 2-Pod 20RC</v>
          </cell>
          <cell r="F308">
            <v>67.739999999999995</v>
          </cell>
          <cell r="G308">
            <v>0</v>
          </cell>
          <cell r="H308">
            <v>0</v>
          </cell>
          <cell r="I308">
            <v>67.739999999999995</v>
          </cell>
        </row>
        <row r="309">
          <cell r="C309">
            <v>3652</v>
          </cell>
          <cell r="E309" t="str">
            <v>17826 Cl Ice Burst FS-CC-BDG-ND-20BE</v>
          </cell>
          <cell r="F309">
            <v>751</v>
          </cell>
          <cell r="G309">
            <v>0</v>
          </cell>
          <cell r="H309">
            <v>0</v>
          </cell>
          <cell r="I309">
            <v>751</v>
          </cell>
        </row>
        <row r="310">
          <cell r="C310">
            <v>3679</v>
          </cell>
          <cell r="E310" t="str">
            <v>17545 CLVerve BalancedTaste16CP-MD</v>
          </cell>
          <cell r="F310">
            <v>4.0000000000000001E-3</v>
          </cell>
          <cell r="G310">
            <v>4.0000000000000001E-3</v>
          </cell>
          <cell r="H310">
            <v>0</v>
          </cell>
          <cell r="I310">
            <v>0</v>
          </cell>
        </row>
        <row r="311">
          <cell r="C311">
            <v>3692</v>
          </cell>
          <cell r="E311" t="str">
            <v>17211 Classic Connect FTK 20RC-10M</v>
          </cell>
          <cell r="F311">
            <v>7316</v>
          </cell>
          <cell r="G311">
            <v>0</v>
          </cell>
          <cell r="H311">
            <v>50</v>
          </cell>
          <cell r="I311">
            <v>7266</v>
          </cell>
        </row>
        <row r="312">
          <cell r="C312">
            <v>3714</v>
          </cell>
          <cell r="E312" t="str">
            <v>10598 Classic Clove KSFT</v>
          </cell>
          <cell r="F312">
            <v>109.61199999999999</v>
          </cell>
          <cell r="G312">
            <v>0</v>
          </cell>
          <cell r="H312">
            <v>0</v>
          </cell>
          <cell r="I312">
            <v>109.61199999999999</v>
          </cell>
        </row>
        <row r="313">
          <cell r="C313">
            <v>3731</v>
          </cell>
          <cell r="E313" t="str">
            <v>17573 Bristol Spl FT NPCT-10BE-FFT</v>
          </cell>
          <cell r="F313">
            <v>172</v>
          </cell>
          <cell r="G313">
            <v>0</v>
          </cell>
          <cell r="H313">
            <v>60</v>
          </cell>
          <cell r="I313">
            <v>112</v>
          </cell>
        </row>
        <row r="314">
          <cell r="C314">
            <v>3734</v>
          </cell>
          <cell r="E314" t="str">
            <v>17599 CapSpl DSFT NS 10BE-FirmFT</v>
          </cell>
          <cell r="F314">
            <v>0.74</v>
          </cell>
          <cell r="G314">
            <v>0</v>
          </cell>
          <cell r="H314">
            <v>0.5</v>
          </cell>
          <cell r="I314">
            <v>0.24</v>
          </cell>
        </row>
        <row r="315">
          <cell r="C315">
            <v>3748</v>
          </cell>
          <cell r="E315" t="str">
            <v>17512 GFK Red Sleeks 20RC</v>
          </cell>
          <cell r="F315">
            <v>79.040000000000006</v>
          </cell>
          <cell r="G315">
            <v>0</v>
          </cell>
          <cell r="H315">
            <v>0</v>
          </cell>
          <cell r="I315">
            <v>79.040000000000006</v>
          </cell>
        </row>
        <row r="316">
          <cell r="C316">
            <v>3749</v>
          </cell>
          <cell r="E316" t="str">
            <v>17514 GFK Blue Sleeks 20RC</v>
          </cell>
          <cell r="F316">
            <v>67</v>
          </cell>
          <cell r="G316">
            <v>0</v>
          </cell>
          <cell r="H316">
            <v>0</v>
          </cell>
          <cell r="I316">
            <v>67</v>
          </cell>
        </row>
        <row r="317">
          <cell r="C317">
            <v>3751</v>
          </cell>
          <cell r="E317" t="str">
            <v>17563 Cl BT FirmFT NB-MD1-10BE</v>
          </cell>
          <cell r="F317">
            <v>325.77999999999997</v>
          </cell>
          <cell r="G317">
            <v>0</v>
          </cell>
          <cell r="H317">
            <v>10</v>
          </cell>
          <cell r="I317">
            <v>315.77999999999997</v>
          </cell>
        </row>
        <row r="318">
          <cell r="C318">
            <v>3752</v>
          </cell>
          <cell r="E318" t="str">
            <v>17564 Classic BT-20FS-MD1</v>
          </cell>
          <cell r="F318">
            <v>1144</v>
          </cell>
          <cell r="G318">
            <v>0</v>
          </cell>
          <cell r="H318">
            <v>0</v>
          </cell>
          <cell r="I318">
            <v>1144</v>
          </cell>
        </row>
        <row r="319">
          <cell r="C319">
            <v>3755</v>
          </cell>
          <cell r="E319" t="str">
            <v>17578 Cl Rich T ND-MD1-BDG 20FS</v>
          </cell>
          <cell r="F319">
            <v>237.6</v>
          </cell>
          <cell r="G319">
            <v>0</v>
          </cell>
          <cell r="H319">
            <v>0</v>
          </cell>
          <cell r="I319">
            <v>237.6</v>
          </cell>
        </row>
        <row r="320">
          <cell r="C320">
            <v>3756</v>
          </cell>
          <cell r="E320" t="str">
            <v>17918 GFK Red nbundle+NPCT1 10RC</v>
          </cell>
          <cell r="F320">
            <v>2024.37</v>
          </cell>
          <cell r="G320">
            <v>0.2</v>
          </cell>
          <cell r="H320">
            <v>10</v>
          </cell>
          <cell r="I320">
            <v>2014.17</v>
          </cell>
        </row>
        <row r="321">
          <cell r="C321">
            <v>3757</v>
          </cell>
          <cell r="E321" t="str">
            <v>17920 GFK Red nbundle+NPCT1 20RC</v>
          </cell>
          <cell r="F321">
            <v>13</v>
          </cell>
          <cell r="G321">
            <v>0</v>
          </cell>
          <cell r="H321">
            <v>0</v>
          </cell>
          <cell r="I321">
            <v>13</v>
          </cell>
        </row>
        <row r="322">
          <cell r="C322">
            <v>3758</v>
          </cell>
          <cell r="E322" t="str">
            <v>17921 GFK Blue nbundle+NPCT1 10BE</v>
          </cell>
          <cell r="F322">
            <v>4231.3999999999996</v>
          </cell>
          <cell r="G322">
            <v>0</v>
          </cell>
          <cell r="H322">
            <v>10</v>
          </cell>
          <cell r="I322">
            <v>4221.3999999999996</v>
          </cell>
        </row>
        <row r="323">
          <cell r="C323">
            <v>3759</v>
          </cell>
          <cell r="E323" t="str">
            <v>17922 GFK Blue nbundle+NPCT1 20BE</v>
          </cell>
          <cell r="F323">
            <v>383</v>
          </cell>
          <cell r="G323">
            <v>0</v>
          </cell>
          <cell r="H323">
            <v>0</v>
          </cell>
          <cell r="I323">
            <v>383</v>
          </cell>
        </row>
        <row r="324">
          <cell r="C324">
            <v>3761</v>
          </cell>
          <cell r="E324" t="str">
            <v>17579 Cl Refn T ND-MD1-BDG 20FS</v>
          </cell>
          <cell r="F324">
            <v>523</v>
          </cell>
          <cell r="G324">
            <v>0</v>
          </cell>
          <cell r="H324">
            <v>0</v>
          </cell>
          <cell r="I324">
            <v>523</v>
          </cell>
        </row>
        <row r="325">
          <cell r="C325">
            <v>4467</v>
          </cell>
          <cell r="E325" t="str">
            <v>14902 Gold Flake Red Longs FT10BE v2</v>
          </cell>
          <cell r="F325">
            <v>26.84</v>
          </cell>
          <cell r="G325">
            <v>0</v>
          </cell>
          <cell r="H325">
            <v>0</v>
          </cell>
          <cell r="I325">
            <v>26.84</v>
          </cell>
        </row>
        <row r="326">
          <cell r="C326">
            <v>4468</v>
          </cell>
          <cell r="E326" t="str">
            <v>14866 Gold Flake Blue Longs FT10BE v2</v>
          </cell>
          <cell r="F326">
            <v>5.8</v>
          </cell>
          <cell r="G326">
            <v>0</v>
          </cell>
          <cell r="H326">
            <v>0</v>
          </cell>
          <cell r="I326">
            <v>5.8</v>
          </cell>
        </row>
        <row r="327">
          <cell r="C327">
            <v>4469</v>
          </cell>
          <cell r="E327" t="str">
            <v>14868 CL Balanced Taste Longs FT10BE</v>
          </cell>
          <cell r="F327">
            <v>29.9</v>
          </cell>
          <cell r="G327">
            <v>0</v>
          </cell>
          <cell r="H327">
            <v>0</v>
          </cell>
          <cell r="I327">
            <v>29.9</v>
          </cell>
        </row>
        <row r="328">
          <cell r="C328">
            <v>4485</v>
          </cell>
          <cell r="E328" t="str">
            <v>17602 Player's Minty Cool DLX DSFT 10BE</v>
          </cell>
          <cell r="F328">
            <v>11</v>
          </cell>
          <cell r="G328">
            <v>0</v>
          </cell>
          <cell r="H328">
            <v>0</v>
          </cell>
          <cell r="I328">
            <v>11</v>
          </cell>
        </row>
        <row r="329">
          <cell r="C329">
            <v>4495</v>
          </cell>
          <cell r="E329" t="str">
            <v>17699 Gold Flake Indie Special FT10BE-V2</v>
          </cell>
          <cell r="F329">
            <v>240</v>
          </cell>
          <cell r="G329">
            <v>0</v>
          </cell>
          <cell r="H329">
            <v>0</v>
          </cell>
          <cell r="I329">
            <v>240</v>
          </cell>
        </row>
        <row r="330">
          <cell r="C330">
            <v>4502</v>
          </cell>
          <cell r="E330" t="str">
            <v>14374 GF Premium FreshMint SPL FT10BE</v>
          </cell>
          <cell r="F330">
            <v>107.83</v>
          </cell>
          <cell r="G330">
            <v>0</v>
          </cell>
          <cell r="H330">
            <v>0</v>
          </cell>
          <cell r="I330">
            <v>107.83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90E0-7790-4DF9-88BC-7C3BD3818F75}">
  <dimension ref="A1:K68"/>
  <sheetViews>
    <sheetView tabSelected="1" topLeftCell="A2" zoomScale="89" workbookViewId="0">
      <selection activeCell="A2" sqref="A2"/>
    </sheetView>
  </sheetViews>
  <sheetFormatPr defaultRowHeight="14.4" x14ac:dyDescent="0.3"/>
  <cols>
    <col min="1" max="1" width="10.77734375" bestFit="1" customWidth="1"/>
    <col min="2" max="3" width="17.109375" bestFit="1" customWidth="1"/>
    <col min="4" max="4" width="11.109375" bestFit="1" customWidth="1"/>
    <col min="5" max="5" width="10.5546875" bestFit="1" customWidth="1"/>
    <col min="6" max="6" width="13.5546875" bestFit="1" customWidth="1"/>
    <col min="7" max="7" width="13.33203125" bestFit="1" customWidth="1"/>
    <col min="8" max="8" width="14.88671875" bestFit="1" customWidth="1"/>
    <col min="9" max="9" width="41.77734375" bestFit="1" customWidth="1"/>
    <col min="10" max="10" width="9.44140625" bestFit="1" customWidth="1"/>
  </cols>
  <sheetData>
    <row r="1" spans="1:11" x14ac:dyDescent="0.3">
      <c r="A1" s="5"/>
      <c r="B1" s="5"/>
      <c r="C1" s="5"/>
      <c r="D1" s="5"/>
      <c r="E1" s="5"/>
      <c r="F1" s="5">
        <f>SUBTOTAL(9,F3:F146)</f>
        <v>1101.2</v>
      </c>
      <c r="G1" s="5"/>
      <c r="H1" s="5"/>
      <c r="I1" s="5"/>
      <c r="J1" s="5"/>
      <c r="K1" s="5"/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 t="s">
        <v>12</v>
      </c>
      <c r="I2" s="6" t="s">
        <v>9</v>
      </c>
      <c r="J2" s="3" t="s">
        <v>10</v>
      </c>
      <c r="K2" s="5"/>
    </row>
    <row r="3" spans="1:11" x14ac:dyDescent="0.3">
      <c r="A3" s="2" t="s">
        <v>7</v>
      </c>
      <c r="B3" s="2" t="s">
        <v>14</v>
      </c>
      <c r="C3" s="2" t="s">
        <v>14</v>
      </c>
      <c r="D3" s="2">
        <v>3692</v>
      </c>
      <c r="E3" s="2" t="s">
        <v>8</v>
      </c>
      <c r="F3" s="2">
        <v>50</v>
      </c>
      <c r="G3" s="2" t="s">
        <v>11</v>
      </c>
      <c r="H3" s="2"/>
      <c r="I3" s="2" t="str">
        <f>VLOOKUP(D3,[1]SOH!$C$289:$E$330,3,0)</f>
        <v>17211 Classic Connect FTK 20RC-10M</v>
      </c>
      <c r="J3" s="4">
        <f>VLOOKUP(D3,[1]SOH!$C$289:$I$330,7,0)</f>
        <v>7266</v>
      </c>
    </row>
    <row r="4" spans="1:11" x14ac:dyDescent="0.3">
      <c r="A4" s="2" t="s">
        <v>7</v>
      </c>
      <c r="B4" s="2" t="s">
        <v>14</v>
      </c>
      <c r="C4" s="2" t="s">
        <v>14</v>
      </c>
      <c r="D4" s="2">
        <v>3756</v>
      </c>
      <c r="E4" s="2" t="s">
        <v>8</v>
      </c>
      <c r="F4" s="2">
        <v>10</v>
      </c>
      <c r="G4" s="2" t="s">
        <v>11</v>
      </c>
      <c r="H4" s="2"/>
      <c r="I4" s="2" t="str">
        <f>VLOOKUP(D4,[1]SOH!$C$289:$E$330,3,0)</f>
        <v>17918 GFK Red nbundle+NPCT1 10RC</v>
      </c>
      <c r="J4" s="4">
        <f>VLOOKUP(D4,[1]SOH!$C$289:$I$330,7,0)</f>
        <v>2014.17</v>
      </c>
    </row>
    <row r="5" spans="1:11" x14ac:dyDescent="0.3">
      <c r="A5" s="2" t="s">
        <v>7</v>
      </c>
      <c r="B5" s="2" t="s">
        <v>14</v>
      </c>
      <c r="C5" s="2" t="s">
        <v>14</v>
      </c>
      <c r="D5" s="2">
        <v>3731</v>
      </c>
      <c r="E5" s="2" t="s">
        <v>8</v>
      </c>
      <c r="F5" s="2">
        <v>24</v>
      </c>
      <c r="G5" s="2" t="s">
        <v>11</v>
      </c>
      <c r="H5" s="2"/>
      <c r="I5" s="2" t="str">
        <f>VLOOKUP(D5,[1]SOH!$C$289:$E$330,3,0)</f>
        <v>17573 Bristol Spl FT NPCT-10BE-FFT</v>
      </c>
      <c r="J5" s="4">
        <f>VLOOKUP(D5,[1]SOH!$C$289:$I$330,7,0)</f>
        <v>112</v>
      </c>
    </row>
    <row r="6" spans="1:11" x14ac:dyDescent="0.3">
      <c r="A6" s="2" t="s">
        <v>7</v>
      </c>
      <c r="B6" s="2" t="s">
        <v>14</v>
      </c>
      <c r="C6" s="2" t="s">
        <v>14</v>
      </c>
      <c r="D6" s="2">
        <v>3473</v>
      </c>
      <c r="E6" s="2" t="s">
        <v>8</v>
      </c>
      <c r="F6" s="2">
        <v>24</v>
      </c>
      <c r="G6" s="2" t="s">
        <v>11</v>
      </c>
      <c r="H6" s="2"/>
      <c r="I6" s="2" t="str">
        <f>VLOOKUP(D6,[1]SOH!$C$289:$E$330,3,0)</f>
        <v>13632 GF SUP ST FT V3-NPCT1 NS 10BE</v>
      </c>
      <c r="J6" s="4">
        <f>VLOOKUP(D6,[1]SOH!$C$289:$I$330,7,0)</f>
        <v>5320.67</v>
      </c>
    </row>
    <row r="7" spans="1:11" x14ac:dyDescent="0.3">
      <c r="A7" s="2" t="s">
        <v>7</v>
      </c>
      <c r="B7" s="2" t="s">
        <v>14</v>
      </c>
      <c r="C7" s="2" t="s">
        <v>14</v>
      </c>
      <c r="D7" s="2">
        <v>3521</v>
      </c>
      <c r="E7" s="2" t="s">
        <v>8</v>
      </c>
      <c r="F7" s="2">
        <v>12</v>
      </c>
      <c r="G7" s="2" t="s">
        <v>11</v>
      </c>
      <c r="H7" s="2"/>
      <c r="I7" s="2" t="str">
        <f>VLOOKUP(D7,[1]SOH!$C$289:$E$330,3,0)</f>
        <v>13457 GoldFlake Prm Mint Sw-NPCT10BE</v>
      </c>
      <c r="J7" s="4">
        <f>VLOOKUP(D7,[1]SOH!$C$289:$I$330,7,0)</f>
        <v>570.99</v>
      </c>
    </row>
    <row r="8" spans="1:11" x14ac:dyDescent="0.3">
      <c r="A8" s="2" t="s">
        <v>7</v>
      </c>
      <c r="B8" s="2" t="s">
        <v>14</v>
      </c>
      <c r="C8" s="2" t="s">
        <v>14</v>
      </c>
      <c r="D8" s="2">
        <v>3523</v>
      </c>
      <c r="E8" s="2" t="s">
        <v>8</v>
      </c>
      <c r="F8" s="2">
        <v>24</v>
      </c>
      <c r="G8" s="2" t="s">
        <v>11</v>
      </c>
      <c r="H8" s="2"/>
      <c r="I8" s="2" t="str">
        <f>VLOOKUP(D8,[1]SOH!$C$289:$E$330,3,0)</f>
        <v>13167 GoldFlake PrmBlueFT 10BE-NPCT</v>
      </c>
      <c r="J8" s="4">
        <f>VLOOKUP(D8,[1]SOH!$C$289:$I$330,7,0)</f>
        <v>1860</v>
      </c>
    </row>
    <row r="9" spans="1:11" x14ac:dyDescent="0.3">
      <c r="A9" s="2" t="s">
        <v>7</v>
      </c>
      <c r="B9" s="2" t="s">
        <v>14</v>
      </c>
      <c r="C9" s="2" t="s">
        <v>14</v>
      </c>
      <c r="D9" s="2">
        <v>3751</v>
      </c>
      <c r="E9" s="2" t="s">
        <v>8</v>
      </c>
      <c r="F9" s="2">
        <v>5</v>
      </c>
      <c r="G9" s="2" t="s">
        <v>11</v>
      </c>
      <c r="H9" s="2"/>
      <c r="I9" s="2" t="str">
        <f>VLOOKUP(D9,[1]SOH!$C$289:$E$330,3,0)</f>
        <v>17563 Cl BT FirmFT NB-MD1-10BE</v>
      </c>
      <c r="J9" s="4">
        <f>VLOOKUP(D9,[1]SOH!$C$289:$I$330,7,0)</f>
        <v>315.77999999999997</v>
      </c>
    </row>
    <row r="10" spans="1:11" x14ac:dyDescent="0.3">
      <c r="A10" s="2" t="s">
        <v>7</v>
      </c>
      <c r="B10" s="2" t="s">
        <v>14</v>
      </c>
      <c r="C10" s="2" t="s">
        <v>14</v>
      </c>
      <c r="D10" s="2">
        <v>3752</v>
      </c>
      <c r="E10" s="2" t="s">
        <v>8</v>
      </c>
      <c r="F10" s="2">
        <v>3</v>
      </c>
      <c r="G10" s="2" t="s">
        <v>11</v>
      </c>
      <c r="H10" s="2"/>
      <c r="I10" s="2" t="str">
        <f>VLOOKUP(D10,[1]SOH!$C$289:$E$330,3,0)</f>
        <v>17564 Classic BT-20FS-MD1</v>
      </c>
      <c r="J10" s="4">
        <f>VLOOKUP(D10,[1]SOH!$C$289:$I$330,7,0)</f>
        <v>1144</v>
      </c>
    </row>
    <row r="11" spans="1:11" x14ac:dyDescent="0.3">
      <c r="A11" s="2" t="s">
        <v>7</v>
      </c>
      <c r="B11" s="2" t="s">
        <v>14</v>
      </c>
      <c r="C11" s="2" t="s">
        <v>14</v>
      </c>
      <c r="D11" s="2">
        <v>3371</v>
      </c>
      <c r="E11" s="2" t="s">
        <v>8</v>
      </c>
      <c r="F11" s="2">
        <v>2</v>
      </c>
      <c r="G11" s="2" t="s">
        <v>11</v>
      </c>
      <c r="H11" s="2"/>
      <c r="I11" s="2" t="str">
        <f>VLOOKUP(D11,[1]SOH!$C$289:$E$330,3,0)</f>
        <v>13557 GFK Mixpod FTK 10BE</v>
      </c>
      <c r="J11" s="4">
        <f>VLOOKUP(D11,[1]SOH!$C$289:$I$330,7,0)</f>
        <v>32</v>
      </c>
    </row>
    <row r="12" spans="1:11" x14ac:dyDescent="0.3">
      <c r="A12" s="2" t="s">
        <v>7</v>
      </c>
      <c r="B12" s="2" t="s">
        <v>14</v>
      </c>
      <c r="C12" s="2" t="s">
        <v>14</v>
      </c>
      <c r="D12" s="2">
        <v>3607</v>
      </c>
      <c r="E12" s="2" t="s">
        <v>8</v>
      </c>
      <c r="F12" s="2">
        <v>36</v>
      </c>
      <c r="G12" s="2" t="s">
        <v>11</v>
      </c>
      <c r="H12" s="2"/>
      <c r="I12" s="2" t="str">
        <f>VLOOKUP(D12,[1]SOH!$C$289:$E$330,3,0)</f>
        <v>17617 GFLAKE PRM FT 10BE NPCT-FFT2</v>
      </c>
      <c r="J12" s="4">
        <f>VLOOKUP(D12,[1]SOH!$C$289:$I$330,7,0)</f>
        <v>52067.91</v>
      </c>
    </row>
    <row r="13" spans="1:11" x14ac:dyDescent="0.3">
      <c r="A13" s="2" t="s">
        <v>7</v>
      </c>
      <c r="B13" s="2" t="s">
        <v>14</v>
      </c>
      <c r="C13" s="2" t="s">
        <v>14</v>
      </c>
      <c r="D13" s="2">
        <v>1748</v>
      </c>
      <c r="E13" s="2" t="s">
        <v>8</v>
      </c>
      <c r="F13" s="2">
        <v>36</v>
      </c>
      <c r="G13" s="2" t="s">
        <v>11</v>
      </c>
      <c r="H13" s="2"/>
      <c r="I13" s="2" t="str">
        <f>VLOOKUP(D13,[1]SOH!$C$289:$E$330,3,0)</f>
        <v>10392 GF Prm Blue Fresh Mint 10BE-NS</v>
      </c>
      <c r="J13" s="4">
        <f>VLOOKUP(D13,[1]SOH!$C$289:$I$330,7,0)</f>
        <v>840</v>
      </c>
    </row>
    <row r="14" spans="1:11" x14ac:dyDescent="0.3">
      <c r="A14" s="2" t="s">
        <v>7</v>
      </c>
      <c r="B14" s="2" t="s">
        <v>14</v>
      </c>
      <c r="C14" s="2" t="s">
        <v>14</v>
      </c>
      <c r="D14" s="2">
        <v>4467</v>
      </c>
      <c r="E14" s="2" t="s">
        <v>8</v>
      </c>
      <c r="F14" s="2">
        <v>1</v>
      </c>
      <c r="G14" s="2" t="s">
        <v>11</v>
      </c>
      <c r="H14" s="2"/>
      <c r="I14" s="2" t="str">
        <f>VLOOKUP(D14,[1]SOH!$C$289:$E$330,3,0)</f>
        <v>14902 Gold Flake Red Longs FT10BE v2</v>
      </c>
      <c r="J14" s="4">
        <f>VLOOKUP(D14,[1]SOH!$C$289:$I$330,7,0)</f>
        <v>26.84</v>
      </c>
    </row>
    <row r="15" spans="1:11" x14ac:dyDescent="0.3">
      <c r="A15" s="2" t="s">
        <v>7</v>
      </c>
      <c r="B15" s="2" t="s">
        <v>14</v>
      </c>
      <c r="C15" s="2" t="s">
        <v>14</v>
      </c>
      <c r="D15" s="2">
        <v>4468</v>
      </c>
      <c r="E15" s="2" t="s">
        <v>8</v>
      </c>
      <c r="F15" s="2">
        <v>1</v>
      </c>
      <c r="G15" s="2" t="s">
        <v>11</v>
      </c>
      <c r="H15" s="2"/>
      <c r="I15" s="2" t="str">
        <f>VLOOKUP(D15,[1]SOH!$C$289:$E$330,3,0)</f>
        <v>14866 Gold Flake Blue Longs FT10BE v2</v>
      </c>
      <c r="J15" s="4">
        <f>VLOOKUP(D15,[1]SOH!$C$289:$I$330,7,0)</f>
        <v>5.8</v>
      </c>
    </row>
    <row r="16" spans="1:11" x14ac:dyDescent="0.3">
      <c r="A16" s="2" t="s">
        <v>7</v>
      </c>
      <c r="B16" s="2" t="s">
        <v>14</v>
      </c>
      <c r="C16" s="2" t="s">
        <v>14</v>
      </c>
      <c r="D16" s="2">
        <v>4469</v>
      </c>
      <c r="E16" s="2" t="s">
        <v>8</v>
      </c>
      <c r="F16" s="2">
        <v>1</v>
      </c>
      <c r="G16" s="2" t="s">
        <v>11</v>
      </c>
      <c r="H16" s="2"/>
      <c r="I16" s="2" t="str">
        <f>VLOOKUP(D16,[1]SOH!$C$289:$E$330,3,0)</f>
        <v>14868 CL Balanced Taste Longs FT10BE</v>
      </c>
      <c r="J16" s="4">
        <f>VLOOKUP(D16,[1]SOH!$C$289:$I$330,7,0)</f>
        <v>29.9</v>
      </c>
    </row>
    <row r="17" spans="1:10" x14ac:dyDescent="0.3">
      <c r="A17" s="2" t="s">
        <v>7</v>
      </c>
      <c r="B17" s="2" t="s">
        <v>14</v>
      </c>
      <c r="C17" s="2" t="s">
        <v>14</v>
      </c>
      <c r="D17" s="2">
        <v>3714</v>
      </c>
      <c r="E17" s="2" t="s">
        <v>8</v>
      </c>
      <c r="F17" s="2">
        <v>1.2</v>
      </c>
      <c r="G17" s="2" t="s">
        <v>11</v>
      </c>
      <c r="H17" s="2"/>
      <c r="I17" s="2" t="str">
        <f>VLOOKUP(D17,[1]SOH!$C$289:$E$330,3,0)</f>
        <v>10598 Classic Clove KSFT</v>
      </c>
      <c r="J17" s="4">
        <f>VLOOKUP(D17,[1]SOH!$C$289:$I$330,7,0)</f>
        <v>109.61199999999999</v>
      </c>
    </row>
    <row r="18" spans="1:10" x14ac:dyDescent="0.3">
      <c r="A18" s="2" t="s">
        <v>7</v>
      </c>
      <c r="B18" s="2" t="s">
        <v>15</v>
      </c>
      <c r="C18" s="2" t="s">
        <v>15</v>
      </c>
      <c r="D18" s="2">
        <v>1748</v>
      </c>
      <c r="E18" s="2" t="s">
        <v>8</v>
      </c>
      <c r="F18" s="2">
        <v>24</v>
      </c>
      <c r="G18" s="2" t="s">
        <v>11</v>
      </c>
      <c r="H18" s="2"/>
      <c r="I18" s="2" t="str">
        <f>VLOOKUP(D18,[1]SOH!$C$289:$E$330,3,0)</f>
        <v>10392 GF Prm Blue Fresh Mint 10BE-NS</v>
      </c>
      <c r="J18" s="4">
        <f>VLOOKUP(D18,[1]SOH!$C$289:$I$330,7,0)</f>
        <v>840</v>
      </c>
    </row>
    <row r="19" spans="1:10" x14ac:dyDescent="0.3">
      <c r="A19" s="2" t="s">
        <v>7</v>
      </c>
      <c r="B19" s="2" t="s">
        <v>15</v>
      </c>
      <c r="C19" s="2" t="s">
        <v>15</v>
      </c>
      <c r="D19" s="2">
        <v>3521</v>
      </c>
      <c r="E19" s="2" t="s">
        <v>8</v>
      </c>
      <c r="F19" s="2">
        <v>36</v>
      </c>
      <c r="G19" s="2" t="s">
        <v>11</v>
      </c>
      <c r="H19" s="2"/>
      <c r="I19" s="2" t="str">
        <f>VLOOKUP(D19,[1]SOH!$C$289:$E$330,3,0)</f>
        <v>13457 GoldFlake Prm Mint Sw-NPCT10BE</v>
      </c>
      <c r="J19" s="4">
        <f>VLOOKUP(D19,[1]SOH!$C$289:$I$330,7,0)</f>
        <v>570.99</v>
      </c>
    </row>
    <row r="20" spans="1:10" x14ac:dyDescent="0.3">
      <c r="A20" s="2" t="s">
        <v>7</v>
      </c>
      <c r="B20" s="2" t="s">
        <v>15</v>
      </c>
      <c r="C20" s="2" t="s">
        <v>15</v>
      </c>
      <c r="D20" s="2">
        <v>3607</v>
      </c>
      <c r="E20" s="2" t="s">
        <v>8</v>
      </c>
      <c r="F20" s="2">
        <v>60</v>
      </c>
      <c r="G20" s="2" t="s">
        <v>11</v>
      </c>
      <c r="H20" s="2"/>
      <c r="I20" s="2" t="str">
        <f>VLOOKUP(D20,[1]SOH!$C$289:$E$330,3,0)</f>
        <v>17617 GFLAKE PRM FT 10BE NPCT-FFT2</v>
      </c>
      <c r="J20" s="4">
        <f>VLOOKUP(D20,[1]SOH!$C$289:$I$330,7,0)</f>
        <v>52067.91</v>
      </c>
    </row>
    <row r="21" spans="1:10" x14ac:dyDescent="0.3">
      <c r="A21" s="2" t="s">
        <v>7</v>
      </c>
      <c r="B21" s="2" t="s">
        <v>15</v>
      </c>
      <c r="C21" s="2" t="s">
        <v>15</v>
      </c>
      <c r="D21" s="2">
        <v>3692</v>
      </c>
      <c r="E21" s="2" t="s">
        <v>8</v>
      </c>
      <c r="F21" s="2">
        <v>10</v>
      </c>
      <c r="G21" s="2" t="s">
        <v>11</v>
      </c>
      <c r="H21" s="2"/>
      <c r="I21" s="2" t="str">
        <f>VLOOKUP(D21,[1]SOH!$C$289:$E$330,3,0)</f>
        <v>17211 Classic Connect FTK 20RC-10M</v>
      </c>
      <c r="J21" s="4">
        <f>VLOOKUP(D21,[1]SOH!$C$289:$I$330,7,0)</f>
        <v>7266</v>
      </c>
    </row>
    <row r="22" spans="1:10" x14ac:dyDescent="0.3">
      <c r="A22" s="2" t="s">
        <v>7</v>
      </c>
      <c r="B22" s="2" t="s">
        <v>16</v>
      </c>
      <c r="C22" s="2" t="s">
        <v>16</v>
      </c>
      <c r="D22" s="2">
        <v>1748</v>
      </c>
      <c r="E22" s="2" t="s">
        <v>8</v>
      </c>
      <c r="F22" s="2">
        <v>60</v>
      </c>
      <c r="G22" s="2" t="s">
        <v>11</v>
      </c>
      <c r="H22" s="2"/>
      <c r="I22" s="2" t="str">
        <f>VLOOKUP(D22,[1]SOH!$C$289:$E$330,3,0)</f>
        <v>10392 GF Prm Blue Fresh Mint 10BE-NS</v>
      </c>
      <c r="J22" s="4">
        <f>VLOOKUP(D22,[1]SOH!$C$289:$I$330,7,0)</f>
        <v>840</v>
      </c>
    </row>
    <row r="23" spans="1:10" x14ac:dyDescent="0.3">
      <c r="A23" s="2" t="s">
        <v>7</v>
      </c>
      <c r="B23" s="2" t="s">
        <v>16</v>
      </c>
      <c r="C23" s="2" t="s">
        <v>16</v>
      </c>
      <c r="D23" s="2">
        <v>3370</v>
      </c>
      <c r="E23" s="2" t="s">
        <v>8</v>
      </c>
      <c r="F23" s="2">
        <v>1</v>
      </c>
      <c r="G23" s="2" t="s">
        <v>11</v>
      </c>
      <c r="H23" s="2"/>
      <c r="I23" s="2" t="str">
        <f>VLOOKUP(D23,[1]SOH!$C$289:$E$330,3,0)</f>
        <v>13559 GFK Mixpod FTK 20BE</v>
      </c>
      <c r="J23" s="4">
        <f>VLOOKUP(D23,[1]SOH!$C$289:$I$330,7,0)</f>
        <v>33.200000000000003</v>
      </c>
    </row>
    <row r="24" spans="1:10" x14ac:dyDescent="0.3">
      <c r="A24" s="2" t="s">
        <v>7</v>
      </c>
      <c r="B24" s="2" t="s">
        <v>16</v>
      </c>
      <c r="C24" s="2" t="s">
        <v>16</v>
      </c>
      <c r="D24" s="2">
        <v>3759</v>
      </c>
      <c r="E24" s="2" t="s">
        <v>8</v>
      </c>
      <c r="F24" s="2">
        <v>5</v>
      </c>
      <c r="G24" s="2" t="s">
        <v>11</v>
      </c>
      <c r="H24" s="2"/>
      <c r="I24" s="2" t="str">
        <f>VLOOKUP(D24,[1]SOH!$C$289:$E$330,3,0)</f>
        <v>17922 GFK Blue nbundle+NPCT1 20BE</v>
      </c>
      <c r="J24" s="4">
        <f>VLOOKUP(D24,[1]SOH!$C$289:$I$330,7,0)</f>
        <v>383</v>
      </c>
    </row>
    <row r="25" spans="1:10" x14ac:dyDescent="0.3">
      <c r="A25" s="2" t="s">
        <v>7</v>
      </c>
      <c r="B25" s="2" t="s">
        <v>16</v>
      </c>
      <c r="C25" s="2" t="s">
        <v>16</v>
      </c>
      <c r="D25" s="2">
        <v>3692</v>
      </c>
      <c r="E25" s="2" t="s">
        <v>8</v>
      </c>
      <c r="F25" s="2">
        <v>20</v>
      </c>
      <c r="G25" s="2" t="s">
        <v>11</v>
      </c>
      <c r="H25" s="2"/>
      <c r="I25" s="2" t="str">
        <f>VLOOKUP(D25,[1]SOH!$C$289:$E$330,3,0)</f>
        <v>17211 Classic Connect FTK 20RC-10M</v>
      </c>
      <c r="J25" s="4">
        <f>VLOOKUP(D25,[1]SOH!$C$289:$I$330,7,0)</f>
        <v>7266</v>
      </c>
    </row>
    <row r="26" spans="1:10" x14ac:dyDescent="0.3">
      <c r="A26" s="2" t="s">
        <v>7</v>
      </c>
      <c r="B26" s="2" t="s">
        <v>16</v>
      </c>
      <c r="C26" s="2" t="s">
        <v>16</v>
      </c>
      <c r="D26" s="2">
        <v>3731</v>
      </c>
      <c r="E26" s="2" t="s">
        <v>8</v>
      </c>
      <c r="F26" s="2">
        <v>12</v>
      </c>
      <c r="G26" s="2" t="s">
        <v>11</v>
      </c>
      <c r="H26" s="2"/>
      <c r="I26" s="2" t="str">
        <f>VLOOKUP(D26,[1]SOH!$C$289:$E$330,3,0)</f>
        <v>17573 Bristol Spl FT NPCT-10BE-FFT</v>
      </c>
      <c r="J26" s="4">
        <f>VLOOKUP(D26,[1]SOH!$C$289:$I$330,7,0)</f>
        <v>112</v>
      </c>
    </row>
    <row r="27" spans="1:10" x14ac:dyDescent="0.3">
      <c r="A27" s="2" t="s">
        <v>7</v>
      </c>
      <c r="B27" s="2" t="s">
        <v>16</v>
      </c>
      <c r="C27" s="2" t="s">
        <v>16</v>
      </c>
      <c r="D27" s="2">
        <v>3758</v>
      </c>
      <c r="E27" s="2" t="s">
        <v>8</v>
      </c>
      <c r="F27" s="2">
        <v>10</v>
      </c>
      <c r="G27" s="2" t="s">
        <v>11</v>
      </c>
      <c r="H27" s="2"/>
      <c r="I27" s="2" t="str">
        <f>VLOOKUP(D27,[1]SOH!$C$289:$E$330,3,0)</f>
        <v>17921 GFK Blue nbundle+NPCT1 10BE</v>
      </c>
      <c r="J27" s="4">
        <f>VLOOKUP(D27,[1]SOH!$C$289:$I$330,7,0)</f>
        <v>4221.3999999999996</v>
      </c>
    </row>
    <row r="28" spans="1:10" x14ac:dyDescent="0.3">
      <c r="A28" s="2" t="s">
        <v>7</v>
      </c>
      <c r="B28" s="2" t="s">
        <v>16</v>
      </c>
      <c r="C28" s="2" t="s">
        <v>16</v>
      </c>
      <c r="D28" s="2">
        <v>3761</v>
      </c>
      <c r="E28" s="2" t="s">
        <v>8</v>
      </c>
      <c r="F28" s="2">
        <v>4</v>
      </c>
      <c r="G28" s="2" t="s">
        <v>11</v>
      </c>
      <c r="H28" s="2"/>
      <c r="I28" s="2" t="str">
        <f>VLOOKUP(D28,[1]SOH!$C$289:$E$330,3,0)</f>
        <v>17579 Cl Refn T ND-MD1-BDG 20FS</v>
      </c>
      <c r="J28" s="4">
        <f>VLOOKUP(D28,[1]SOH!$C$289:$I$330,7,0)</f>
        <v>523</v>
      </c>
    </row>
    <row r="29" spans="1:10" x14ac:dyDescent="0.3">
      <c r="A29" s="2" t="s">
        <v>7</v>
      </c>
      <c r="B29" s="2" t="s">
        <v>16</v>
      </c>
      <c r="C29" s="2" t="s">
        <v>16</v>
      </c>
      <c r="D29" s="2">
        <v>3607</v>
      </c>
      <c r="E29" s="2" t="s">
        <v>8</v>
      </c>
      <c r="F29" s="2">
        <v>60</v>
      </c>
      <c r="G29" s="2" t="s">
        <v>11</v>
      </c>
      <c r="H29" s="2"/>
      <c r="I29" s="2" t="str">
        <f>VLOOKUP(D29,[1]SOH!$C$289:$E$330,3,0)</f>
        <v>17617 GFLAKE PRM FT 10BE NPCT-FFT2</v>
      </c>
      <c r="J29" s="4">
        <f>VLOOKUP(D29,[1]SOH!$C$289:$I$330,7,0)</f>
        <v>52067.91</v>
      </c>
    </row>
    <row r="30" spans="1:10" x14ac:dyDescent="0.3">
      <c r="A30" s="2" t="s">
        <v>7</v>
      </c>
      <c r="B30" s="2" t="s">
        <v>16</v>
      </c>
      <c r="C30" s="2" t="s">
        <v>16</v>
      </c>
      <c r="D30" s="2">
        <v>3473</v>
      </c>
      <c r="E30" s="2" t="s">
        <v>8</v>
      </c>
      <c r="F30" s="2">
        <v>24</v>
      </c>
      <c r="G30" s="2" t="s">
        <v>11</v>
      </c>
      <c r="H30" s="2"/>
      <c r="I30" s="2" t="str">
        <f>VLOOKUP(D30,[1]SOH!$C$289:$E$330,3,0)</f>
        <v>13632 GF SUP ST FT V3-NPCT1 NS 10BE</v>
      </c>
      <c r="J30" s="4">
        <f>VLOOKUP(D30,[1]SOH!$C$289:$I$330,7,0)</f>
        <v>5320.67</v>
      </c>
    </row>
    <row r="31" spans="1:10" x14ac:dyDescent="0.3">
      <c r="A31" s="2" t="s">
        <v>7</v>
      </c>
      <c r="B31" s="2" t="s">
        <v>16</v>
      </c>
      <c r="C31" s="2" t="s">
        <v>16</v>
      </c>
      <c r="D31" s="2">
        <v>3521</v>
      </c>
      <c r="E31" s="2" t="s">
        <v>8</v>
      </c>
      <c r="F31" s="2">
        <v>12</v>
      </c>
      <c r="G31" s="2" t="s">
        <v>11</v>
      </c>
      <c r="H31" s="2"/>
      <c r="I31" s="2" t="str">
        <f>VLOOKUP(D31,[1]SOH!$C$289:$E$330,3,0)</f>
        <v>13457 GoldFlake Prm Mint Sw-NPCT10BE</v>
      </c>
      <c r="J31" s="4">
        <f>VLOOKUP(D31,[1]SOH!$C$289:$I$330,7,0)</f>
        <v>570.99</v>
      </c>
    </row>
    <row r="32" spans="1:10" x14ac:dyDescent="0.3">
      <c r="A32" s="2" t="s">
        <v>7</v>
      </c>
      <c r="B32" s="2" t="s">
        <v>16</v>
      </c>
      <c r="C32" s="2" t="s">
        <v>16</v>
      </c>
      <c r="D32" s="2">
        <v>3624</v>
      </c>
      <c r="E32" s="2" t="s">
        <v>8</v>
      </c>
      <c r="F32" s="2">
        <v>1</v>
      </c>
      <c r="G32" s="2" t="s">
        <v>11</v>
      </c>
      <c r="H32" s="2"/>
      <c r="I32" s="2" t="str">
        <f>VLOOKUP(D32,[1]SOH!$C$289:$E$330,3,0)</f>
        <v>17892 GoldFlake FK Social 2-Pod 20RC</v>
      </c>
      <c r="J32" s="4">
        <f>VLOOKUP(D32,[1]SOH!$C$289:$I$330,7,0)</f>
        <v>67.739999999999995</v>
      </c>
    </row>
    <row r="33" spans="1:10" x14ac:dyDescent="0.3">
      <c r="A33" s="2" t="s">
        <v>7</v>
      </c>
      <c r="B33" s="2" t="s">
        <v>16</v>
      </c>
      <c r="C33" s="2" t="s">
        <v>16</v>
      </c>
      <c r="D33" s="2">
        <v>3652</v>
      </c>
      <c r="E33" s="2" t="s">
        <v>8</v>
      </c>
      <c r="F33" s="2">
        <v>10</v>
      </c>
      <c r="G33" s="2" t="s">
        <v>11</v>
      </c>
      <c r="H33" s="2"/>
      <c r="I33" s="2" t="str">
        <f>VLOOKUP(D33,[1]SOH!$C$289:$E$330,3,0)</f>
        <v>17826 Cl Ice Burst FS-CC-BDG-ND-20BE</v>
      </c>
      <c r="J33" s="4">
        <f>VLOOKUP(D33,[1]SOH!$C$289:$I$330,7,0)</f>
        <v>751</v>
      </c>
    </row>
    <row r="34" spans="1:10" x14ac:dyDescent="0.3">
      <c r="A34" s="2" t="s">
        <v>7</v>
      </c>
      <c r="B34" s="2" t="s">
        <v>17</v>
      </c>
      <c r="C34" s="2" t="s">
        <v>17</v>
      </c>
      <c r="D34" s="2">
        <v>3521</v>
      </c>
      <c r="E34" s="2" t="s">
        <v>8</v>
      </c>
      <c r="F34" s="2">
        <v>12</v>
      </c>
      <c r="G34" s="2" t="s">
        <v>11</v>
      </c>
      <c r="H34" s="2"/>
      <c r="I34" s="2" t="str">
        <f>VLOOKUP(D34,[1]SOH!$C$289:$E$330,3,0)</f>
        <v>13457 GoldFlake Prm Mint Sw-NPCT10BE</v>
      </c>
      <c r="J34" s="4">
        <f>VLOOKUP(D34,[1]SOH!$C$289:$I$330,7,0)</f>
        <v>570.99</v>
      </c>
    </row>
    <row r="35" spans="1:10" x14ac:dyDescent="0.3">
      <c r="A35" s="2" t="s">
        <v>7</v>
      </c>
      <c r="B35" s="2" t="s">
        <v>17</v>
      </c>
      <c r="C35" s="2" t="s">
        <v>17</v>
      </c>
      <c r="D35" s="2">
        <v>3370</v>
      </c>
      <c r="E35" s="2" t="s">
        <v>8</v>
      </c>
      <c r="F35" s="2">
        <v>5</v>
      </c>
      <c r="G35" s="2" t="s">
        <v>11</v>
      </c>
      <c r="H35" s="2"/>
      <c r="I35" s="2" t="str">
        <f>VLOOKUP(D35,[1]SOH!$C$289:$E$330,3,0)</f>
        <v>13559 GFK Mixpod FTK 20BE</v>
      </c>
      <c r="J35" s="4">
        <f>VLOOKUP(D35,[1]SOH!$C$289:$I$330,7,0)</f>
        <v>33.200000000000003</v>
      </c>
    </row>
    <row r="36" spans="1:10" x14ac:dyDescent="0.3">
      <c r="A36" s="2" t="s">
        <v>7</v>
      </c>
      <c r="B36" s="2" t="s">
        <v>17</v>
      </c>
      <c r="C36" s="2" t="s">
        <v>17</v>
      </c>
      <c r="D36" s="2">
        <v>3371</v>
      </c>
      <c r="E36" s="2" t="s">
        <v>8</v>
      </c>
      <c r="F36" s="2">
        <v>5</v>
      </c>
      <c r="G36" s="2" t="s">
        <v>11</v>
      </c>
      <c r="H36" s="2"/>
      <c r="I36" s="2" t="str">
        <f>VLOOKUP(D36,[1]SOH!$C$289:$E$330,3,0)</f>
        <v>13557 GFK Mixpod FTK 10BE</v>
      </c>
      <c r="J36" s="4">
        <f>VLOOKUP(D36,[1]SOH!$C$289:$I$330,7,0)</f>
        <v>32</v>
      </c>
    </row>
    <row r="37" spans="1:10" x14ac:dyDescent="0.3">
      <c r="A37" s="2" t="s">
        <v>7</v>
      </c>
      <c r="B37" s="2" t="s">
        <v>17</v>
      </c>
      <c r="C37" s="2" t="s">
        <v>17</v>
      </c>
      <c r="D37" s="2">
        <v>3757</v>
      </c>
      <c r="E37" s="2" t="s">
        <v>8</v>
      </c>
      <c r="F37" s="2">
        <v>5</v>
      </c>
      <c r="G37" s="2" t="s">
        <v>11</v>
      </c>
      <c r="H37" s="2"/>
      <c r="I37" s="2" t="str">
        <f>VLOOKUP(D37,[1]SOH!$C$289:$E$330,3,0)</f>
        <v>17920 GFK Red nbundle+NPCT1 20RC</v>
      </c>
      <c r="J37" s="4">
        <f>VLOOKUP(D37,[1]SOH!$C$289:$I$330,7,0)</f>
        <v>13</v>
      </c>
    </row>
    <row r="38" spans="1:10" x14ac:dyDescent="0.3">
      <c r="A38" s="2" t="s">
        <v>7</v>
      </c>
      <c r="B38" s="2" t="s">
        <v>17</v>
      </c>
      <c r="C38" s="2" t="s">
        <v>17</v>
      </c>
      <c r="D38" s="2">
        <v>3759</v>
      </c>
      <c r="E38" s="2" t="s">
        <v>8</v>
      </c>
      <c r="F38" s="2">
        <v>10</v>
      </c>
      <c r="G38" s="2" t="s">
        <v>11</v>
      </c>
      <c r="H38" s="2"/>
      <c r="I38" s="2" t="str">
        <f>VLOOKUP(D38,[1]SOH!$C$289:$E$330,3,0)</f>
        <v>17922 GFK Blue nbundle+NPCT1 20BE</v>
      </c>
      <c r="J38" s="4">
        <f>VLOOKUP(D38,[1]SOH!$C$289:$I$330,7,0)</f>
        <v>383</v>
      </c>
    </row>
    <row r="39" spans="1:10" x14ac:dyDescent="0.3">
      <c r="A39" s="2" t="s">
        <v>7</v>
      </c>
      <c r="B39" s="2" t="s">
        <v>17</v>
      </c>
      <c r="C39" s="2" t="s">
        <v>17</v>
      </c>
      <c r="D39" s="2">
        <v>3527</v>
      </c>
      <c r="E39" s="2" t="s">
        <v>8</v>
      </c>
      <c r="F39" s="2">
        <v>3</v>
      </c>
      <c r="G39" s="2" t="s">
        <v>11</v>
      </c>
      <c r="H39" s="2"/>
      <c r="I39" s="2" t="str">
        <f>VLOOKUP(D39,[1]SOH!$C$289:$E$330,3,0)</f>
        <v>14981 Gold Flake Twinpod 20BE</v>
      </c>
      <c r="J39" s="4">
        <f>VLOOKUP(D39,[1]SOH!$C$289:$I$330,7,0)</f>
        <v>25.9</v>
      </c>
    </row>
    <row r="40" spans="1:10" x14ac:dyDescent="0.3">
      <c r="A40" s="2" t="s">
        <v>7</v>
      </c>
      <c r="B40" s="2" t="s">
        <v>17</v>
      </c>
      <c r="C40" s="2" t="s">
        <v>17</v>
      </c>
      <c r="D40" s="2">
        <v>3692</v>
      </c>
      <c r="E40" s="2" t="s">
        <v>8</v>
      </c>
      <c r="F40" s="2">
        <v>30</v>
      </c>
      <c r="G40" s="2" t="s">
        <v>11</v>
      </c>
      <c r="H40" s="2"/>
      <c r="I40" s="2" t="str">
        <f>VLOOKUP(D40,[1]SOH!$C$289:$E$330,3,0)</f>
        <v>17211 Classic Connect FTK 20RC-10M</v>
      </c>
      <c r="J40" s="4">
        <f>VLOOKUP(D40,[1]SOH!$C$289:$I$330,7,0)</f>
        <v>7266</v>
      </c>
    </row>
    <row r="41" spans="1:10" x14ac:dyDescent="0.3">
      <c r="A41" s="2" t="s">
        <v>7</v>
      </c>
      <c r="B41" s="2" t="s">
        <v>17</v>
      </c>
      <c r="C41" s="2" t="s">
        <v>17</v>
      </c>
      <c r="D41" s="2">
        <v>3624</v>
      </c>
      <c r="E41" s="2" t="s">
        <v>8</v>
      </c>
      <c r="F41" s="2">
        <v>4</v>
      </c>
      <c r="G41" s="2" t="s">
        <v>11</v>
      </c>
      <c r="H41" s="2"/>
      <c r="I41" s="2" t="str">
        <f>VLOOKUP(D41,[1]SOH!$C$289:$E$330,3,0)</f>
        <v>17892 GoldFlake FK Social 2-Pod 20RC</v>
      </c>
      <c r="J41" s="4">
        <f>VLOOKUP(D41,[1]SOH!$C$289:$I$330,7,0)</f>
        <v>67.739999999999995</v>
      </c>
    </row>
    <row r="42" spans="1:10" x14ac:dyDescent="0.3">
      <c r="A42" s="2" t="s">
        <v>7</v>
      </c>
      <c r="B42" s="2" t="s">
        <v>17</v>
      </c>
      <c r="C42" s="2" t="s">
        <v>17</v>
      </c>
      <c r="D42" s="2">
        <v>3751</v>
      </c>
      <c r="E42" s="2" t="s">
        <v>8</v>
      </c>
      <c r="F42" s="2">
        <v>10</v>
      </c>
      <c r="G42" s="2" t="s">
        <v>11</v>
      </c>
      <c r="H42" s="2"/>
      <c r="I42" s="2" t="str">
        <f>VLOOKUP(D42,[1]SOH!$C$289:$E$330,3,0)</f>
        <v>17563 Cl BT FirmFT NB-MD1-10BE</v>
      </c>
      <c r="J42" s="4">
        <f>VLOOKUP(D42,[1]SOH!$C$289:$I$330,7,0)</f>
        <v>315.77999999999997</v>
      </c>
    </row>
    <row r="43" spans="1:10" x14ac:dyDescent="0.3">
      <c r="A43" s="2" t="s">
        <v>7</v>
      </c>
      <c r="B43" s="2" t="s">
        <v>17</v>
      </c>
      <c r="C43" s="2" t="s">
        <v>17</v>
      </c>
      <c r="D43" s="2">
        <v>3752</v>
      </c>
      <c r="E43" s="2" t="s">
        <v>8</v>
      </c>
      <c r="F43" s="2">
        <v>10</v>
      </c>
      <c r="G43" s="2" t="s">
        <v>11</v>
      </c>
      <c r="H43" s="2"/>
      <c r="I43" s="2" t="str">
        <f>VLOOKUP(D43,[1]SOH!$C$289:$E$330,3,0)</f>
        <v>17564 Classic BT-20FS-MD1</v>
      </c>
      <c r="J43" s="4">
        <f>VLOOKUP(D43,[1]SOH!$C$289:$I$330,7,0)</f>
        <v>1144</v>
      </c>
    </row>
    <row r="44" spans="1:10" x14ac:dyDescent="0.3">
      <c r="A44" s="2" t="s">
        <v>7</v>
      </c>
      <c r="B44" s="2" t="s">
        <v>17</v>
      </c>
      <c r="C44" s="2" t="s">
        <v>17</v>
      </c>
      <c r="D44" s="2">
        <v>3755</v>
      </c>
      <c r="E44" s="2" t="s">
        <v>8</v>
      </c>
      <c r="F44" s="2">
        <v>5</v>
      </c>
      <c r="G44" s="2" t="s">
        <v>11</v>
      </c>
      <c r="H44" s="2"/>
      <c r="I44" s="2" t="str">
        <f>VLOOKUP(D44,[1]SOH!$C$289:$E$330,3,0)</f>
        <v>17578 Cl Rich T ND-MD1-BDG 20FS</v>
      </c>
      <c r="J44" s="4">
        <f>VLOOKUP(D44,[1]SOH!$C$289:$I$330,7,0)</f>
        <v>237.6</v>
      </c>
    </row>
    <row r="45" spans="1:10" x14ac:dyDescent="0.3">
      <c r="A45" s="2" t="s">
        <v>7</v>
      </c>
      <c r="B45" s="2" t="s">
        <v>17</v>
      </c>
      <c r="C45" s="2" t="s">
        <v>17</v>
      </c>
      <c r="D45" s="2">
        <v>3761</v>
      </c>
      <c r="E45" s="2" t="s">
        <v>8</v>
      </c>
      <c r="F45" s="2">
        <v>5</v>
      </c>
      <c r="G45" s="2" t="s">
        <v>11</v>
      </c>
      <c r="H45" s="2"/>
      <c r="I45" s="2" t="str">
        <f>VLOOKUP(D45,[1]SOH!$C$289:$E$330,3,0)</f>
        <v>17579 Cl Refn T ND-MD1-BDG 20FS</v>
      </c>
      <c r="J45" s="4">
        <f>VLOOKUP(D45,[1]SOH!$C$289:$I$330,7,0)</f>
        <v>523</v>
      </c>
    </row>
    <row r="46" spans="1:10" x14ac:dyDescent="0.3">
      <c r="A46" s="2" t="s">
        <v>7</v>
      </c>
      <c r="B46" s="2" t="s">
        <v>17</v>
      </c>
      <c r="C46" s="2" t="s">
        <v>17</v>
      </c>
      <c r="D46" s="2">
        <v>3652</v>
      </c>
      <c r="E46" s="2" t="s">
        <v>8</v>
      </c>
      <c r="F46" s="2">
        <v>10</v>
      </c>
      <c r="G46" s="2" t="s">
        <v>11</v>
      </c>
      <c r="H46" s="2"/>
      <c r="I46" s="2" t="str">
        <f>VLOOKUP(D46,[1]SOH!$C$289:$E$330,3,0)</f>
        <v>17826 Cl Ice Burst FS-CC-BDG-ND-20BE</v>
      </c>
      <c r="J46" s="4">
        <f>VLOOKUP(D46,[1]SOH!$C$289:$I$330,7,0)</f>
        <v>751</v>
      </c>
    </row>
    <row r="47" spans="1:10" x14ac:dyDescent="0.3">
      <c r="A47" s="2" t="s">
        <v>7</v>
      </c>
      <c r="B47" s="2" t="s">
        <v>17</v>
      </c>
      <c r="C47" s="2" t="s">
        <v>17</v>
      </c>
      <c r="D47" s="2">
        <v>3758</v>
      </c>
      <c r="E47" s="2" t="s">
        <v>8</v>
      </c>
      <c r="F47" s="2">
        <v>10</v>
      </c>
      <c r="G47" s="2" t="s">
        <v>11</v>
      </c>
      <c r="H47" s="2"/>
      <c r="I47" s="2" t="str">
        <f>VLOOKUP(D47,[1]SOH!$C$289:$E$330,3,0)</f>
        <v>17921 GFK Blue nbundle+NPCT1 10BE</v>
      </c>
      <c r="J47" s="4">
        <f>VLOOKUP(D47,[1]SOH!$C$289:$I$330,7,0)</f>
        <v>4221.3999999999996</v>
      </c>
    </row>
    <row r="48" spans="1:10" x14ac:dyDescent="0.3">
      <c r="A48" s="2" t="s">
        <v>7</v>
      </c>
      <c r="B48" s="2" t="s">
        <v>17</v>
      </c>
      <c r="C48" s="2" t="s">
        <v>17</v>
      </c>
      <c r="D48" s="2">
        <v>1748</v>
      </c>
      <c r="E48" s="2" t="s">
        <v>8</v>
      </c>
      <c r="F48" s="2">
        <v>60</v>
      </c>
      <c r="G48" s="2" t="s">
        <v>11</v>
      </c>
      <c r="H48" s="2"/>
      <c r="I48" s="2" t="str">
        <f>VLOOKUP(D48,[1]SOH!$C$289:$E$330,3,0)</f>
        <v>10392 GF Prm Blue Fresh Mint 10BE-NS</v>
      </c>
      <c r="J48" s="4">
        <f>VLOOKUP(D48,[1]SOH!$C$289:$I$330,7,0)</f>
        <v>840</v>
      </c>
    </row>
    <row r="49" spans="1:10" x14ac:dyDescent="0.3">
      <c r="A49" s="2" t="s">
        <v>7</v>
      </c>
      <c r="B49" s="2" t="s">
        <v>17</v>
      </c>
      <c r="C49" s="2" t="s">
        <v>17</v>
      </c>
      <c r="D49" s="2">
        <v>3607</v>
      </c>
      <c r="E49" s="2" t="s">
        <v>8</v>
      </c>
      <c r="F49" s="2">
        <v>60</v>
      </c>
      <c r="G49" s="2" t="s">
        <v>11</v>
      </c>
      <c r="H49" s="2"/>
      <c r="I49" s="2" t="str">
        <f>VLOOKUP(D49,[1]SOH!$C$289:$E$330,3,0)</f>
        <v>17617 GFLAKE PRM FT 10BE NPCT-FFT2</v>
      </c>
      <c r="J49" s="4">
        <f>VLOOKUP(D49,[1]SOH!$C$289:$I$330,7,0)</f>
        <v>52067.91</v>
      </c>
    </row>
    <row r="50" spans="1:10" x14ac:dyDescent="0.3">
      <c r="A50" s="2" t="s">
        <v>7</v>
      </c>
      <c r="B50" s="2" t="s">
        <v>18</v>
      </c>
      <c r="C50" s="2" t="s">
        <v>18</v>
      </c>
      <c r="D50" s="2">
        <v>3521</v>
      </c>
      <c r="E50" s="2" t="s">
        <v>8</v>
      </c>
      <c r="F50" s="2">
        <v>36</v>
      </c>
      <c r="G50" s="2" t="s">
        <v>13</v>
      </c>
      <c r="H50" s="2"/>
      <c r="I50" s="2" t="str">
        <f>VLOOKUP(D50,[1]SOH!$C$289:$E$330,3,0)</f>
        <v>13457 GoldFlake Prm Mint Sw-NPCT10BE</v>
      </c>
      <c r="J50" s="4">
        <f>VLOOKUP(D50,[1]SOH!$C$289:$I$330,7,0)</f>
        <v>570.99</v>
      </c>
    </row>
    <row r="51" spans="1:10" x14ac:dyDescent="0.3">
      <c r="A51" s="2" t="s">
        <v>7</v>
      </c>
      <c r="B51" s="2" t="s">
        <v>18</v>
      </c>
      <c r="C51" s="2" t="s">
        <v>18</v>
      </c>
      <c r="D51" s="2">
        <v>3607</v>
      </c>
      <c r="E51" s="2" t="s">
        <v>8</v>
      </c>
      <c r="F51" s="2">
        <v>120</v>
      </c>
      <c r="G51" s="2" t="s">
        <v>13</v>
      </c>
      <c r="H51" s="2"/>
      <c r="I51" s="2" t="str">
        <f>VLOOKUP(D51,[1]SOH!$C$289:$E$330,3,0)</f>
        <v>17617 GFLAKE PRM FT 10BE NPCT-FFT2</v>
      </c>
      <c r="J51" s="4">
        <f>VLOOKUP(D51,[1]SOH!$C$289:$I$330,7,0)</f>
        <v>52067.91</v>
      </c>
    </row>
    <row r="52" spans="1:10" x14ac:dyDescent="0.3">
      <c r="A52" s="2" t="s">
        <v>7</v>
      </c>
      <c r="B52" s="2" t="s">
        <v>18</v>
      </c>
      <c r="C52" s="2" t="s">
        <v>18</v>
      </c>
      <c r="D52" s="2">
        <v>3523</v>
      </c>
      <c r="E52" s="2" t="s">
        <v>8</v>
      </c>
      <c r="F52" s="2">
        <v>12</v>
      </c>
      <c r="G52" s="2" t="s">
        <v>13</v>
      </c>
      <c r="H52" s="2"/>
      <c r="I52" s="2" t="str">
        <f>VLOOKUP(D52,[1]SOH!$C$289:$E$330,3,0)</f>
        <v>13167 GoldFlake PrmBlueFT 10BE-NPCT</v>
      </c>
      <c r="J52" s="4">
        <f>VLOOKUP(D52,[1]SOH!$C$289:$I$330,7,0)</f>
        <v>1860</v>
      </c>
    </row>
    <row r="53" spans="1:10" x14ac:dyDescent="0.3">
      <c r="A53" s="2" t="s">
        <v>7</v>
      </c>
      <c r="B53" s="2" t="s">
        <v>18</v>
      </c>
      <c r="C53" s="2" t="s">
        <v>18</v>
      </c>
      <c r="D53" s="2">
        <v>1748</v>
      </c>
      <c r="E53" s="2" t="s">
        <v>8</v>
      </c>
      <c r="F53" s="2">
        <v>60</v>
      </c>
      <c r="G53" s="2" t="s">
        <v>13</v>
      </c>
      <c r="H53" s="2"/>
      <c r="I53" s="2" t="str">
        <f>VLOOKUP(D53,[1]SOH!$C$289:$E$330,3,0)</f>
        <v>10392 GF Prm Blue Fresh Mint 10BE-NS</v>
      </c>
      <c r="J53" s="4">
        <f>VLOOKUP(D53,[1]SOH!$C$289:$I$330,7,0)</f>
        <v>840</v>
      </c>
    </row>
    <row r="54" spans="1:10" x14ac:dyDescent="0.3">
      <c r="A54" s="2" t="s">
        <v>7</v>
      </c>
      <c r="B54" s="2" t="s">
        <v>18</v>
      </c>
      <c r="C54" s="2" t="s">
        <v>18</v>
      </c>
      <c r="D54" s="2">
        <v>3756</v>
      </c>
      <c r="E54" s="2" t="s">
        <v>8</v>
      </c>
      <c r="F54" s="2">
        <v>10</v>
      </c>
      <c r="G54" s="2" t="s">
        <v>13</v>
      </c>
      <c r="H54" s="2"/>
      <c r="I54" s="2" t="str">
        <f>VLOOKUP(D54,[1]SOH!$C$289:$E$330,3,0)</f>
        <v>17918 GFK Red nbundle+NPCT1 10RC</v>
      </c>
      <c r="J54" s="4">
        <f>VLOOKUP(D54,[1]SOH!$C$289:$I$330,7,0)</f>
        <v>2014.17</v>
      </c>
    </row>
    <row r="55" spans="1:10" x14ac:dyDescent="0.3">
      <c r="A55" s="2" t="s">
        <v>7</v>
      </c>
      <c r="B55" s="2" t="s">
        <v>18</v>
      </c>
      <c r="C55" s="2" t="s">
        <v>18</v>
      </c>
      <c r="D55" s="2">
        <v>3758</v>
      </c>
      <c r="E55" s="2" t="s">
        <v>8</v>
      </c>
      <c r="F55" s="2">
        <v>10</v>
      </c>
      <c r="G55" s="2" t="s">
        <v>13</v>
      </c>
      <c r="H55" s="2"/>
      <c r="I55" s="2" t="str">
        <f>VLOOKUP(D55,[1]SOH!$C$289:$E$330,3,0)</f>
        <v>17921 GFK Blue nbundle+NPCT1 10BE</v>
      </c>
      <c r="J55" s="4">
        <f>VLOOKUP(D55,[1]SOH!$C$289:$I$330,7,0)</f>
        <v>4221.3999999999996</v>
      </c>
    </row>
    <row r="56" spans="1:10" x14ac:dyDescent="0.3">
      <c r="A56" s="2" t="s">
        <v>7</v>
      </c>
      <c r="B56" s="2" t="s">
        <v>18</v>
      </c>
      <c r="C56" s="2" t="s">
        <v>18</v>
      </c>
      <c r="D56" s="2">
        <v>3371</v>
      </c>
      <c r="E56" s="2" t="s">
        <v>8</v>
      </c>
      <c r="F56" s="2">
        <v>10</v>
      </c>
      <c r="G56" s="2" t="s">
        <v>13</v>
      </c>
      <c r="H56" s="2"/>
      <c r="I56" s="2" t="str">
        <f>VLOOKUP(D56,[1]SOH!$C$289:$E$330,3,0)</f>
        <v>13557 GFK Mixpod FTK 10BE</v>
      </c>
      <c r="J56" s="4">
        <f>VLOOKUP(D56,[1]SOH!$C$289:$I$330,7,0)</f>
        <v>32</v>
      </c>
    </row>
    <row r="57" spans="1:10" x14ac:dyDescent="0.3">
      <c r="A57" s="2" t="s">
        <v>7</v>
      </c>
      <c r="B57" s="2" t="s">
        <v>18</v>
      </c>
      <c r="C57" s="2" t="s">
        <v>18</v>
      </c>
      <c r="D57" s="2">
        <v>3751</v>
      </c>
      <c r="E57" s="2" t="s">
        <v>8</v>
      </c>
      <c r="F57" s="2">
        <v>10</v>
      </c>
      <c r="G57" s="2" t="s">
        <v>13</v>
      </c>
      <c r="H57" s="2"/>
      <c r="I57" s="2" t="str">
        <f>VLOOKUP(D57,[1]SOH!$C$289:$E$330,3,0)</f>
        <v>17563 Cl BT FirmFT NB-MD1-10BE</v>
      </c>
      <c r="J57" s="4">
        <f>VLOOKUP(D57,[1]SOH!$C$289:$I$330,7,0)</f>
        <v>315.77999999999997</v>
      </c>
    </row>
    <row r="58" spans="1:10" x14ac:dyDescent="0.3">
      <c r="A58" s="2" t="s">
        <v>7</v>
      </c>
      <c r="B58" s="2" t="s">
        <v>18</v>
      </c>
      <c r="C58" s="2" t="s">
        <v>18</v>
      </c>
      <c r="D58" s="2">
        <v>3692</v>
      </c>
      <c r="E58" s="2" t="s">
        <v>8</v>
      </c>
      <c r="F58" s="2">
        <v>10</v>
      </c>
      <c r="G58" s="2" t="s">
        <v>13</v>
      </c>
      <c r="H58" s="2"/>
      <c r="I58" s="2" t="str">
        <f>VLOOKUP(D58,[1]SOH!$C$289:$E$330,3,0)</f>
        <v>17211 Classic Connect FTK 20RC-10M</v>
      </c>
      <c r="J58" s="4">
        <f>VLOOKUP(D58,[1]SOH!$C$289:$I$330,7,0)</f>
        <v>7266</v>
      </c>
    </row>
    <row r="59" spans="1:10" x14ac:dyDescent="0.3">
      <c r="A59" s="2" t="s">
        <v>7</v>
      </c>
      <c r="B59" s="2" t="s">
        <v>19</v>
      </c>
      <c r="C59" s="2" t="s">
        <v>19</v>
      </c>
      <c r="D59" s="2"/>
      <c r="E59" s="2" t="s">
        <v>8</v>
      </c>
      <c r="F59" s="2"/>
      <c r="G59" s="2" t="s">
        <v>11</v>
      </c>
      <c r="H59" s="2"/>
      <c r="I59" s="2" t="e">
        <f>VLOOKUP(D59,[1]SOH!$C$289:$E$330,3,0)</f>
        <v>#N/A</v>
      </c>
      <c r="J59" s="4" t="e">
        <f>VLOOKUP(D59,[1]SOH!$C$289:$I$330,7,0)</f>
        <v>#N/A</v>
      </c>
    </row>
    <row r="60" spans="1:10" x14ac:dyDescent="0.3">
      <c r="A60" s="2" t="s">
        <v>7</v>
      </c>
      <c r="B60" s="2" t="s">
        <v>19</v>
      </c>
      <c r="C60" s="2" t="s">
        <v>19</v>
      </c>
      <c r="D60" s="2"/>
      <c r="E60" s="2" t="s">
        <v>8</v>
      </c>
      <c r="F60" s="2"/>
      <c r="G60" s="2" t="s">
        <v>11</v>
      </c>
      <c r="H60" s="2"/>
      <c r="I60" s="2" t="e">
        <f>VLOOKUP(D60,[1]SOH!$C$289:$E$330,3,0)</f>
        <v>#N/A</v>
      </c>
      <c r="J60" s="4" t="e">
        <f>VLOOKUP(D60,[1]SOH!$C$289:$I$330,7,0)</f>
        <v>#N/A</v>
      </c>
    </row>
    <row r="61" spans="1:10" x14ac:dyDescent="0.3">
      <c r="A61" s="2" t="s">
        <v>7</v>
      </c>
      <c r="B61" s="2" t="s">
        <v>19</v>
      </c>
      <c r="C61" s="2" t="s">
        <v>19</v>
      </c>
      <c r="D61" s="2"/>
      <c r="E61" s="2" t="s">
        <v>8</v>
      </c>
      <c r="F61" s="2"/>
      <c r="G61" s="2" t="s">
        <v>11</v>
      </c>
      <c r="H61" s="2"/>
      <c r="I61" s="2" t="e">
        <f>VLOOKUP(D61,[1]SOH!$C$289:$E$330,3,0)</f>
        <v>#N/A</v>
      </c>
      <c r="J61" s="4" t="e">
        <f>VLOOKUP(D61,[1]SOH!$C$289:$I$330,7,0)</f>
        <v>#N/A</v>
      </c>
    </row>
    <row r="62" spans="1:10" x14ac:dyDescent="0.3">
      <c r="A62" s="2" t="s">
        <v>7</v>
      </c>
      <c r="B62" s="2" t="s">
        <v>19</v>
      </c>
      <c r="C62" s="2" t="s">
        <v>19</v>
      </c>
      <c r="D62" s="2"/>
      <c r="E62" s="2" t="s">
        <v>8</v>
      </c>
      <c r="F62" s="2"/>
      <c r="G62" s="2" t="s">
        <v>11</v>
      </c>
      <c r="H62" s="2"/>
      <c r="I62" s="2" t="e">
        <f>VLOOKUP(D62,[1]SOH!$C$289:$E$330,3,0)</f>
        <v>#N/A</v>
      </c>
      <c r="J62" s="4" t="e">
        <f>VLOOKUP(D62,[1]SOH!$C$289:$I$330,7,0)</f>
        <v>#N/A</v>
      </c>
    </row>
    <row r="63" spans="1:10" x14ac:dyDescent="0.3">
      <c r="A63" s="2" t="s">
        <v>7</v>
      </c>
      <c r="B63" s="2" t="s">
        <v>19</v>
      </c>
      <c r="C63" s="2" t="s">
        <v>19</v>
      </c>
      <c r="D63" s="2"/>
      <c r="E63" s="2" t="s">
        <v>8</v>
      </c>
      <c r="F63" s="2"/>
      <c r="G63" s="2" t="s">
        <v>11</v>
      </c>
      <c r="H63" s="2"/>
      <c r="I63" s="2" t="e">
        <f>VLOOKUP(D63,[1]SOH!$C$289:$E$330,3,0)</f>
        <v>#N/A</v>
      </c>
      <c r="J63" s="4" t="e">
        <f>VLOOKUP(D63,[1]SOH!$C$289:$I$330,7,0)</f>
        <v>#N/A</v>
      </c>
    </row>
    <row r="64" spans="1:10" x14ac:dyDescent="0.3">
      <c r="A64" s="2" t="s">
        <v>7</v>
      </c>
      <c r="B64" s="2" t="s">
        <v>19</v>
      </c>
      <c r="C64" s="2" t="s">
        <v>19</v>
      </c>
      <c r="D64" s="2"/>
      <c r="E64" s="2" t="s">
        <v>8</v>
      </c>
      <c r="F64" s="2"/>
      <c r="G64" s="2" t="s">
        <v>11</v>
      </c>
      <c r="H64" s="2"/>
      <c r="I64" s="2" t="e">
        <f>VLOOKUP(D64,[1]SOH!$C$289:$E$330,3,0)</f>
        <v>#N/A</v>
      </c>
      <c r="J64" s="4" t="e">
        <f>VLOOKUP(D64,[1]SOH!$C$289:$I$330,7,0)</f>
        <v>#N/A</v>
      </c>
    </row>
    <row r="65" spans="1:10" x14ac:dyDescent="0.3">
      <c r="A65" s="2" t="s">
        <v>7</v>
      </c>
      <c r="B65" s="2" t="s">
        <v>19</v>
      </c>
      <c r="C65" s="2" t="s">
        <v>19</v>
      </c>
      <c r="D65" s="2"/>
      <c r="E65" s="2" t="s">
        <v>8</v>
      </c>
      <c r="F65" s="2"/>
      <c r="G65" s="2" t="s">
        <v>11</v>
      </c>
      <c r="H65" s="2"/>
      <c r="I65" s="2" t="e">
        <f>VLOOKUP(D65,[1]SOH!$C$289:$E$330,3,0)</f>
        <v>#N/A</v>
      </c>
      <c r="J65" s="4" t="e">
        <f>VLOOKUP(D65,[1]SOH!$C$289:$I$330,7,0)</f>
        <v>#N/A</v>
      </c>
    </row>
    <row r="66" spans="1:10" x14ac:dyDescent="0.3">
      <c r="A66" s="2" t="s">
        <v>7</v>
      </c>
      <c r="B66" s="2" t="s">
        <v>19</v>
      </c>
      <c r="C66" s="2" t="s">
        <v>19</v>
      </c>
      <c r="D66" s="2"/>
      <c r="E66" s="2" t="s">
        <v>8</v>
      </c>
      <c r="F66" s="2"/>
      <c r="G66" s="2" t="s">
        <v>11</v>
      </c>
      <c r="H66" s="2"/>
      <c r="I66" s="2" t="e">
        <f>VLOOKUP(D66,[1]SOH!$C$289:$E$330,3,0)</f>
        <v>#N/A</v>
      </c>
      <c r="J66" s="4" t="e">
        <f>VLOOKUP(D66,[1]SOH!$C$289:$I$330,7,0)</f>
        <v>#N/A</v>
      </c>
    </row>
    <row r="67" spans="1:10" x14ac:dyDescent="0.3">
      <c r="A67" s="2" t="s">
        <v>7</v>
      </c>
      <c r="B67" s="2" t="s">
        <v>19</v>
      </c>
      <c r="C67" s="2" t="s">
        <v>19</v>
      </c>
      <c r="D67" s="2"/>
      <c r="E67" s="2" t="s">
        <v>8</v>
      </c>
      <c r="F67" s="2"/>
      <c r="G67" s="2" t="s">
        <v>11</v>
      </c>
      <c r="H67" s="2"/>
      <c r="I67" s="2" t="e">
        <f>VLOOKUP(D67,[1]SOH!$C$289:$E$330,3,0)</f>
        <v>#N/A</v>
      </c>
      <c r="J67" s="4" t="e">
        <f>VLOOKUP(D67,[1]SOH!$C$289:$I$330,7,0)</f>
        <v>#N/A</v>
      </c>
    </row>
    <row r="68" spans="1:10" x14ac:dyDescent="0.3">
      <c r="A68" s="2" t="s">
        <v>7</v>
      </c>
      <c r="B68" s="2" t="s">
        <v>19</v>
      </c>
      <c r="C68" s="2" t="s">
        <v>19</v>
      </c>
      <c r="D68" s="2"/>
      <c r="E68" s="2" t="s">
        <v>8</v>
      </c>
      <c r="F68" s="2"/>
      <c r="G68" s="2" t="s">
        <v>11</v>
      </c>
      <c r="H68" s="2"/>
      <c r="I68" s="2" t="e">
        <f>VLOOKUP(D68,[1]SOH!$C$289:$E$330,3,0)</f>
        <v>#N/A</v>
      </c>
      <c r="J68" s="4" t="e">
        <f>VLOOKUP(D68,[1]SOH!$C$289:$I$330,7,0)</f>
        <v>#N/A</v>
      </c>
    </row>
  </sheetData>
  <autoFilter ref="A2:J68" xr:uid="{F30990E0-7790-4DF9-88BC-7C3BD3818F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GULAM GAUS SALMANI</dc:creator>
  <cp:lastModifiedBy>gowtham kumar</cp:lastModifiedBy>
  <dcterms:created xsi:type="dcterms:W3CDTF">2026-02-09T08:20:33Z</dcterms:created>
  <dcterms:modified xsi:type="dcterms:W3CDTF">2026-03-18T09:06:38Z</dcterms:modified>
</cp:coreProperties>
</file>